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GIAL_July-26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7" i="1"/>
  <c r="J7" i="1" l="1"/>
  <c r="J11" i="1" l="1"/>
  <c r="J10" i="1"/>
  <c r="J9" i="1"/>
  <c r="J8" i="1"/>
</calcChain>
</file>

<file path=xl/comments1.xml><?xml version="1.0" encoding="utf-8"?>
<comments xmlns="http://schemas.openxmlformats.org/spreadsheetml/2006/main">
  <authors>
    <author>Lenovo</author>
  </authors>
  <commentList>
    <comment ref="R29" authorId="0" shapeId="0">
      <text>
        <r>
          <rPr>
            <b/>
            <sz val="9"/>
            <color indexed="81"/>
            <rFont val="Tahoma"/>
            <family val="2"/>
          </rPr>
          <t>D0320254977: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This machine was installed at 01.05.2026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 xml:space="preserve">D0320254983:
This maxchine was installed at 01.06.2026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D0320254984:
This machine was installed at 01.06.2025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</rPr>
          <t xml:space="preserve">D0320254989:
This machine was installed at 01.07.2026
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</rPr>
          <t xml:space="preserve">D0320254988:
Installed at 06.07.2027
</t>
        </r>
      </text>
    </comment>
    <comment ref="R34" authorId="0" shapeId="0">
      <text>
        <r>
          <rPr>
            <b/>
            <sz val="9"/>
            <color indexed="81"/>
            <rFont val="Tahoma"/>
            <family val="2"/>
          </rPr>
          <t xml:space="preserve">D0320254975:
Installed at 06.07.2027
</t>
        </r>
      </text>
    </comment>
    <comment ref="R35" authorId="0" shapeId="0">
      <text>
        <r>
          <rPr>
            <b/>
            <sz val="9"/>
            <color indexed="81"/>
            <rFont val="Tahoma"/>
            <family val="2"/>
          </rPr>
          <t xml:space="preserve">D0320254991:
Installed at 09.07.2026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<sst xmlns="http://schemas.openxmlformats.org/spreadsheetml/2006/main" count="252" uniqueCount="120">
  <si>
    <t>21.07.2026</t>
  </si>
  <si>
    <t>S.no</t>
  </si>
  <si>
    <t>Machine No.</t>
  </si>
  <si>
    <t>Installation Date</t>
  </si>
  <si>
    <t>Software Ver.</t>
  </si>
  <si>
    <t>Firmware Ver.</t>
  </si>
  <si>
    <t>Algorithm Ver.</t>
  </si>
  <si>
    <t>SAT Date</t>
  </si>
  <si>
    <t>Warranty Start Date</t>
  </si>
  <si>
    <t>Warranty End Date</t>
  </si>
  <si>
    <t>Last SPM Date</t>
  </si>
  <si>
    <t>Upcoming SPM date</t>
  </si>
  <si>
    <t>Current Location</t>
  </si>
  <si>
    <t>Sample Count</t>
  </si>
  <si>
    <t>EVK Detection Status</t>
  </si>
  <si>
    <t>Remark</t>
  </si>
  <si>
    <t>D1120234771</t>
  </si>
  <si>
    <t>4_04</t>
  </si>
  <si>
    <t>13.0.26</t>
  </si>
  <si>
    <t>EU700.25.01</t>
  </si>
  <si>
    <t>T1-Dom_Cargo</t>
  </si>
  <si>
    <t>Detected</t>
  </si>
  <si>
    <t>ok</t>
  </si>
  <si>
    <t>-</t>
  </si>
  <si>
    <t>Not in use</t>
  </si>
  <si>
    <t>D1120234772</t>
  </si>
  <si>
    <t>T2-Int_Crash gate</t>
  </si>
  <si>
    <t>D1120234773</t>
  </si>
  <si>
    <t>T1-Dom_SHA</t>
  </si>
  <si>
    <t>D0220244829</t>
  </si>
  <si>
    <t>T1-Int_SHA</t>
  </si>
  <si>
    <t>D0220244830</t>
  </si>
  <si>
    <t>T1-Dom_Dep</t>
  </si>
  <si>
    <t>_</t>
  </si>
  <si>
    <t>Locked</t>
  </si>
  <si>
    <t>D1220244957</t>
  </si>
  <si>
    <t>ASTI, CISF-Barr</t>
  </si>
  <si>
    <t>D1220244958</t>
  </si>
  <si>
    <t>D1220244959</t>
  </si>
  <si>
    <t>D0320254990</t>
  </si>
  <si>
    <t>D0320254987</t>
  </si>
  <si>
    <t>T1-Cargo Gate</t>
  </si>
  <si>
    <t>D0320254986</t>
  </si>
  <si>
    <t>T2-Random</t>
  </si>
  <si>
    <t>D0320254992</t>
  </si>
  <si>
    <t>T2-OOG</t>
  </si>
  <si>
    <t>D0320254979</t>
  </si>
  <si>
    <t>4_06</t>
  </si>
  <si>
    <t>13.0.28</t>
  </si>
  <si>
    <t>EU700.24.01</t>
  </si>
  <si>
    <t>T2-Level-3</t>
  </si>
  <si>
    <t>D0320254973</t>
  </si>
  <si>
    <t xml:space="preserve">T2-Mezanine </t>
  </si>
  <si>
    <t>D0320254978</t>
  </si>
  <si>
    <t>T2-ATRS-1</t>
  </si>
  <si>
    <t>D0320254980</t>
  </si>
  <si>
    <t>T2-ATRS 2&amp;3</t>
  </si>
  <si>
    <t>D0320254985</t>
  </si>
  <si>
    <t>T2-ATRS 4&amp;5</t>
  </si>
  <si>
    <t>D0320254993</t>
  </si>
  <si>
    <t>T2-ATRS 6&amp;7</t>
  </si>
  <si>
    <t>D0320254982</t>
  </si>
  <si>
    <t>T2-ATRS 8&amp;9</t>
  </si>
  <si>
    <t>D0320254974</t>
  </si>
  <si>
    <t>T2-ATRS 10</t>
  </si>
  <si>
    <t>D0320254976</t>
  </si>
  <si>
    <t>T2-BMA</t>
  </si>
  <si>
    <t>D0320254981</t>
  </si>
  <si>
    <t>T2-Airside Entry</t>
  </si>
  <si>
    <t>D0320254977</t>
  </si>
  <si>
    <t>T2- Arr.Staff Gate</t>
  </si>
  <si>
    <t>D0320254983</t>
  </si>
  <si>
    <t>T1-Dep- indigo</t>
  </si>
  <si>
    <t>D0320254984</t>
  </si>
  <si>
    <t>T2-Goods Screen</t>
  </si>
  <si>
    <t>D0320254989</t>
  </si>
  <si>
    <t>Atrs 12</t>
  </si>
  <si>
    <t>D0320254988</t>
  </si>
  <si>
    <t>13 Atrs</t>
  </si>
  <si>
    <t>D0320254975</t>
  </si>
  <si>
    <t>Vehical Gate</t>
  </si>
  <si>
    <t>D0320254991</t>
  </si>
  <si>
    <t>Int Random</t>
  </si>
  <si>
    <t>GIAL - Guwahati Airport Daily Service report 10 nos ETD</t>
  </si>
  <si>
    <t>Limit Crossed Sample Count &gt;</t>
  </si>
  <si>
    <t>Days for each 20k ops</t>
  </si>
  <si>
    <t xml:space="preserve"> Cross Date</t>
  </si>
  <si>
    <t>Days in band</t>
  </si>
  <si>
    <t>Units in Months</t>
  </si>
  <si>
    <t>Differential Rate</t>
  </si>
  <si>
    <t>FY26-27</t>
  </si>
  <si>
    <t>20k</t>
  </si>
  <si>
    <t>40k</t>
  </si>
  <si>
    <t>60k</t>
  </si>
  <si>
    <t>80k</t>
  </si>
  <si>
    <t>100k</t>
  </si>
  <si>
    <t>20k-40k</t>
  </si>
  <si>
    <t>40k-60k</t>
  </si>
  <si>
    <t>60k-80k</t>
  </si>
  <si>
    <t>80k-100k</t>
  </si>
  <si>
    <t>&gt;100k</t>
  </si>
  <si>
    <t>mm20</t>
  </si>
  <si>
    <t>mm40</t>
  </si>
  <si>
    <t>mm60</t>
  </si>
  <si>
    <t>mm80</t>
  </si>
  <si>
    <t>mm100</t>
  </si>
  <si>
    <t>Year</t>
  </si>
  <si>
    <t>20 - 40k</t>
  </si>
  <si>
    <t>40-60k</t>
  </si>
  <si>
    <t>60-80k</t>
  </si>
  <si>
    <t>80-100k</t>
  </si>
  <si>
    <t>Estimated PO cost</t>
  </si>
  <si>
    <t>Sample Count
at start of FY</t>
  </si>
  <si>
    <t>Sample counts done in    FY26-27</t>
  </si>
  <si>
    <t>Days in FY26-27</t>
  </si>
  <si>
    <t>Rate 
per day</t>
  </si>
  <si>
    <t>Bal. Days 
in FY26-27</t>
  </si>
  <si>
    <t>Est. ops reach in FY26-27</t>
  </si>
  <si>
    <t>at differential rates</t>
  </si>
  <si>
    <t xml:space="preserve">Sample Count
on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</si>
</sst>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177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2"/>
      <color rgb="FF000000"/>
      <name val="Calibri Light"/>
      <family val="2"/>
      <charset val="177"/>
    </font>
    <font>
      <b/>
      <sz val="11"/>
      <color theme="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9BC2E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DEEAF6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5" fillId="5" borderId="7" xfId="0" applyNumberFormat="1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8" xfId="0" applyFont="1" applyBorder="1"/>
    <xf numFmtId="14" fontId="6" fillId="0" borderId="8" xfId="0" applyNumberFormat="1" applyFont="1" applyBorder="1" applyAlignment="1">
      <alignment horizontal="center" vertical="center"/>
    </xf>
    <xf numFmtId="14" fontId="5" fillId="5" borderId="8" xfId="0" applyNumberFormat="1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14" fontId="16" fillId="6" borderId="17" xfId="0" applyNumberFormat="1" applyFont="1" applyFill="1" applyBorder="1" applyAlignment="1">
      <alignment vertical="center"/>
    </xf>
    <xf numFmtId="14" fontId="16" fillId="11" borderId="18" xfId="0" applyNumberFormat="1" applyFont="1" applyFill="1" applyBorder="1" applyAlignment="1">
      <alignment vertical="center"/>
    </xf>
    <xf numFmtId="14" fontId="16" fillId="11" borderId="19" xfId="0" applyNumberFormat="1" applyFont="1" applyFill="1" applyBorder="1" applyAlignment="1">
      <alignment vertical="center"/>
    </xf>
    <xf numFmtId="14" fontId="16" fillId="11" borderId="17" xfId="0" applyNumberFormat="1" applyFont="1" applyFill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7" fillId="10" borderId="35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4" fillId="12" borderId="28" xfId="0" applyFont="1" applyFill="1" applyBorder="1" applyAlignment="1">
      <alignment horizontal="left" vertical="center" wrapText="1"/>
    </xf>
    <xf numFmtId="0" fontId="4" fillId="12" borderId="37" xfId="0" applyFont="1" applyFill="1" applyBorder="1" applyAlignment="1">
      <alignment horizontal="center" vertical="center" wrapText="1"/>
    </xf>
    <xf numFmtId="0" fontId="4" fillId="12" borderId="29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8" xfId="0" applyBorder="1" applyAlignment="1">
      <alignment horizontal="center" vertical="center" wrapText="1"/>
    </xf>
    <xf numFmtId="0" fontId="0" fillId="0" borderId="8" xfId="0" applyBorder="1"/>
    <xf numFmtId="0" fontId="0" fillId="0" borderId="43" xfId="0" applyBorder="1"/>
    <xf numFmtId="0" fontId="0" fillId="0" borderId="45" xfId="0" applyBorder="1"/>
    <xf numFmtId="0" fontId="0" fillId="0" borderId="36" xfId="0" applyBorder="1"/>
    <xf numFmtId="0" fontId="0" fillId="0" borderId="47" xfId="0" applyBorder="1"/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2" xfId="0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4" fillId="0" borderId="8" xfId="0" applyFont="1" applyFill="1" applyBorder="1" applyAlignment="1">
      <alignment horizontal="center" vertical="center" wrapText="1"/>
    </xf>
    <xf numFmtId="0" fontId="4" fillId="12" borderId="30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7" fillId="8" borderId="9" xfId="0" applyNumberFormat="1" applyFont="1" applyFill="1" applyBorder="1" applyAlignment="1">
      <alignment horizontal="center" vertical="center"/>
    </xf>
    <xf numFmtId="14" fontId="7" fillId="8" borderId="16" xfId="0" applyNumberFormat="1" applyFont="1" applyFill="1" applyBorder="1" applyAlignment="1">
      <alignment horizontal="center" vertical="center"/>
    </xf>
    <xf numFmtId="164" fontId="12" fillId="9" borderId="10" xfId="0" applyNumberFormat="1" applyFont="1" applyFill="1" applyBorder="1" applyAlignment="1">
      <alignment horizontal="center" vertical="center" wrapText="1"/>
    </xf>
    <xf numFmtId="164" fontId="12" fillId="9" borderId="11" xfId="0" applyNumberFormat="1" applyFont="1" applyFill="1" applyBorder="1" applyAlignment="1">
      <alignment horizontal="center" vertical="center" wrapText="1"/>
    </xf>
    <xf numFmtId="164" fontId="12" fillId="9" borderId="12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4" fontId="16" fillId="11" borderId="18" xfId="0" applyNumberFormat="1" applyFont="1" applyFill="1" applyBorder="1" applyAlignment="1">
      <alignment horizontal="right" vertical="center"/>
    </xf>
    <xf numFmtId="0" fontId="4" fillId="12" borderId="31" xfId="0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BB36"/>
  <sheetViews>
    <sheetView tabSelected="1" topLeftCell="A4" zoomScaleNormal="100" workbookViewId="0">
      <selection activeCell="T11" sqref="T11"/>
    </sheetView>
  </sheetViews>
  <sheetFormatPr defaultRowHeight="15.5" x14ac:dyDescent="0.35"/>
  <cols>
    <col min="1" max="1" width="4.08984375" bestFit="1" customWidth="1"/>
    <col min="2" max="2" width="14" style="22" customWidth="1"/>
    <col min="3" max="3" width="16.08984375" style="33" bestFit="1" customWidth="1"/>
    <col min="4" max="4" width="14.08984375" bestFit="1" customWidth="1"/>
    <col min="5" max="5" width="11.90625" bestFit="1" customWidth="1"/>
    <col min="6" max="6" width="12.36328125" bestFit="1" customWidth="1"/>
    <col min="7" max="7" width="12.54296875" bestFit="1" customWidth="1"/>
    <col min="8" max="8" width="10.08984375" bestFit="1" customWidth="1"/>
    <col min="9" max="9" width="17.1796875" bestFit="1" customWidth="1"/>
    <col min="10" max="10" width="16.36328125" bestFit="1" customWidth="1"/>
    <col min="11" max="11" width="12.453125" bestFit="1" customWidth="1"/>
    <col min="12" max="12" width="17.08984375" bestFit="1" customWidth="1"/>
    <col min="13" max="13" width="4" customWidth="1"/>
    <col min="14" max="14" width="11.81640625" style="23" bestFit="1" customWidth="1"/>
    <col min="15" max="15" width="17.54296875" style="23" bestFit="1" customWidth="1"/>
    <col min="16" max="16" width="10" style="23" bestFit="1" customWidth="1"/>
    <col min="18" max="18" width="12.1796875" customWidth="1"/>
    <col min="19" max="19" width="12.81640625" bestFit="1" customWidth="1"/>
    <col min="20" max="20" width="8.7265625" style="130"/>
    <col min="24" max="24" width="12.81640625" bestFit="1" customWidth="1"/>
  </cols>
  <sheetData>
    <row r="3" spans="1:54" ht="16" thickBot="1" x14ac:dyDescent="0.4"/>
    <row r="4" spans="1:54" ht="16" thickBot="1" x14ac:dyDescent="0.4">
      <c r="A4" s="104" t="s">
        <v>83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N4" s="111" t="s">
        <v>0</v>
      </c>
      <c r="O4" s="111"/>
      <c r="P4" s="111"/>
      <c r="R4" s="112">
        <v>46113</v>
      </c>
      <c r="S4" s="114"/>
      <c r="T4" s="115"/>
      <c r="U4" s="115"/>
      <c r="V4" s="115"/>
      <c r="W4" s="115"/>
      <c r="X4" s="115"/>
      <c r="Y4" s="116"/>
      <c r="Z4" s="117" t="s">
        <v>84</v>
      </c>
      <c r="AA4" s="118"/>
      <c r="AB4" s="118"/>
      <c r="AC4" s="118"/>
      <c r="AD4" s="119"/>
      <c r="AE4" s="123" t="s">
        <v>85</v>
      </c>
      <c r="AF4" s="125" t="s">
        <v>86</v>
      </c>
      <c r="AG4" s="125"/>
      <c r="AH4" s="126"/>
      <c r="AI4" s="34"/>
      <c r="AJ4" s="34"/>
      <c r="AK4" s="35"/>
      <c r="AL4" s="127" t="s">
        <v>87</v>
      </c>
      <c r="AM4" s="128"/>
      <c r="AN4" s="128"/>
      <c r="AO4" s="128"/>
      <c r="AP4" s="129"/>
      <c r="AQ4" s="106" t="s">
        <v>88</v>
      </c>
      <c r="AR4" s="107"/>
      <c r="AS4" s="107"/>
      <c r="AT4" s="107"/>
      <c r="AU4" s="108"/>
      <c r="AV4" s="36"/>
      <c r="AW4" s="106" t="s">
        <v>89</v>
      </c>
      <c r="AX4" s="109"/>
      <c r="AY4" s="109"/>
      <c r="AZ4" s="109"/>
      <c r="BA4" s="110"/>
      <c r="BB4" s="37" t="s">
        <v>90</v>
      </c>
    </row>
    <row r="5" spans="1:54" ht="16" thickBot="1" x14ac:dyDescent="0.4">
      <c r="A5" s="1" t="s">
        <v>1</v>
      </c>
      <c r="B5" s="2" t="s">
        <v>2</v>
      </c>
      <c r="C5" s="28" t="s">
        <v>12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N5" s="24" t="s">
        <v>13</v>
      </c>
      <c r="O5" s="24" t="s">
        <v>14</v>
      </c>
      <c r="P5" s="24" t="s">
        <v>15</v>
      </c>
      <c r="R5" s="113"/>
      <c r="S5" s="38">
        <v>46224</v>
      </c>
      <c r="T5" s="131"/>
      <c r="U5" s="40"/>
      <c r="V5" s="41"/>
      <c r="W5" s="41"/>
      <c r="X5" s="41">
        <v>46477</v>
      </c>
      <c r="Y5" s="39"/>
      <c r="Z5" s="120"/>
      <c r="AA5" s="121"/>
      <c r="AB5" s="121"/>
      <c r="AC5" s="121"/>
      <c r="AD5" s="122"/>
      <c r="AE5" s="124"/>
      <c r="AF5" s="42" t="s">
        <v>91</v>
      </c>
      <c r="AG5" s="43" t="s">
        <v>92</v>
      </c>
      <c r="AH5" s="44" t="s">
        <v>93</v>
      </c>
      <c r="AI5" s="45" t="s">
        <v>94</v>
      </c>
      <c r="AJ5" s="45" t="s">
        <v>95</v>
      </c>
      <c r="AK5" s="35" t="s">
        <v>90</v>
      </c>
      <c r="AL5" s="46" t="s">
        <v>96</v>
      </c>
      <c r="AM5" s="47" t="s">
        <v>97</v>
      </c>
      <c r="AN5" s="47" t="s">
        <v>98</v>
      </c>
      <c r="AO5" s="47" t="s">
        <v>99</v>
      </c>
      <c r="AP5" s="48" t="s">
        <v>100</v>
      </c>
      <c r="AQ5" s="46" t="s">
        <v>101</v>
      </c>
      <c r="AR5" s="47" t="s">
        <v>102</v>
      </c>
      <c r="AS5" s="47" t="s">
        <v>103</v>
      </c>
      <c r="AT5" s="47" t="s">
        <v>104</v>
      </c>
      <c r="AU5" s="49" t="s">
        <v>105</v>
      </c>
      <c r="AV5" s="50" t="s">
        <v>106</v>
      </c>
      <c r="AW5" s="51" t="s">
        <v>107</v>
      </c>
      <c r="AX5" s="43" t="s">
        <v>108</v>
      </c>
      <c r="AY5" s="43" t="s">
        <v>109</v>
      </c>
      <c r="AZ5" s="43" t="s">
        <v>110</v>
      </c>
      <c r="BA5" s="52" t="s">
        <v>100</v>
      </c>
      <c r="BB5" s="53" t="s">
        <v>111</v>
      </c>
    </row>
    <row r="6" spans="1:54" ht="77.5" x14ac:dyDescent="0.35">
      <c r="A6" s="4"/>
      <c r="B6" s="5"/>
      <c r="C6" s="29"/>
      <c r="D6" s="6"/>
      <c r="E6" s="6"/>
      <c r="F6" s="6"/>
      <c r="G6" s="6"/>
      <c r="H6" s="6"/>
      <c r="I6" s="6"/>
      <c r="J6" s="7"/>
      <c r="K6" s="8"/>
      <c r="L6" s="8"/>
      <c r="N6" s="17"/>
      <c r="O6" s="17"/>
      <c r="P6" s="25"/>
      <c r="R6" s="58" t="s">
        <v>112</v>
      </c>
      <c r="S6" s="60" t="s">
        <v>119</v>
      </c>
      <c r="T6" s="132" t="s">
        <v>113</v>
      </c>
      <c r="U6" s="59"/>
      <c r="V6" s="60" t="s">
        <v>114</v>
      </c>
      <c r="W6" s="60" t="s">
        <v>115</v>
      </c>
      <c r="X6" s="99" t="s">
        <v>116</v>
      </c>
      <c r="Y6" s="102" t="s">
        <v>117</v>
      </c>
      <c r="Z6" s="101">
        <v>20000</v>
      </c>
      <c r="AA6" s="61">
        <v>40000</v>
      </c>
      <c r="AB6" s="62">
        <v>60000</v>
      </c>
      <c r="AC6" s="63">
        <v>80000</v>
      </c>
      <c r="AD6" s="63">
        <v>100000</v>
      </c>
      <c r="AE6" s="64"/>
      <c r="AF6" s="65"/>
      <c r="AG6" s="66"/>
      <c r="AH6" s="67"/>
      <c r="AI6" s="68"/>
      <c r="AJ6" s="68"/>
      <c r="AK6" s="69"/>
      <c r="AL6" s="54"/>
      <c r="AM6" s="55"/>
      <c r="AN6" s="55"/>
      <c r="AO6" s="55"/>
      <c r="AP6" s="70"/>
      <c r="AQ6" s="54">
        <v>30.5</v>
      </c>
      <c r="AR6" s="55"/>
      <c r="AS6" s="55"/>
      <c r="AT6" s="55"/>
      <c r="AU6" s="56"/>
      <c r="AV6" s="57"/>
      <c r="AW6" s="71">
        <v>25000</v>
      </c>
      <c r="AX6" s="72">
        <v>30000</v>
      </c>
      <c r="AY6" s="72">
        <v>35000</v>
      </c>
      <c r="AZ6" s="72">
        <v>40000</v>
      </c>
      <c r="BA6" s="73">
        <v>48000</v>
      </c>
      <c r="BB6" s="74" t="s">
        <v>118</v>
      </c>
    </row>
    <row r="7" spans="1:54" ht="16" thickBot="1" x14ac:dyDescent="0.4">
      <c r="A7" s="4">
        <v>1</v>
      </c>
      <c r="B7" s="5" t="s">
        <v>16</v>
      </c>
      <c r="C7" s="29" t="s">
        <v>20</v>
      </c>
      <c r="D7" s="6">
        <v>45401</v>
      </c>
      <c r="E7" s="6" t="s">
        <v>17</v>
      </c>
      <c r="F7" s="6" t="s">
        <v>18</v>
      </c>
      <c r="G7" s="6" t="s">
        <v>19</v>
      </c>
      <c r="H7" s="6">
        <v>45401</v>
      </c>
      <c r="I7" s="6">
        <v>45401</v>
      </c>
      <c r="J7" s="7">
        <f>EDATE(I7, 36)</f>
        <v>46496</v>
      </c>
      <c r="K7" s="8">
        <v>46154</v>
      </c>
      <c r="L7" s="8">
        <v>46246</v>
      </c>
      <c r="N7" s="17"/>
      <c r="O7" s="17" t="s">
        <v>23</v>
      </c>
      <c r="P7" s="25" t="s">
        <v>24</v>
      </c>
      <c r="R7" s="25">
        <v>11259</v>
      </c>
      <c r="S7" s="25">
        <v>11736</v>
      </c>
      <c r="T7" s="133">
        <f>S7-R7</f>
        <v>477</v>
      </c>
      <c r="U7" s="98"/>
      <c r="V7" s="98"/>
      <c r="W7" s="98"/>
      <c r="X7" s="100"/>
      <c r="Y7" s="103"/>
      <c r="Z7" s="80"/>
      <c r="AA7" s="81"/>
      <c r="AB7" s="82"/>
      <c r="AC7" s="83"/>
      <c r="AD7" s="83"/>
      <c r="AE7" s="84"/>
      <c r="AF7" s="85"/>
      <c r="AG7" s="66"/>
      <c r="AH7" s="86"/>
      <c r="AI7" s="87"/>
      <c r="AJ7" s="87"/>
      <c r="AK7" s="88"/>
      <c r="AL7" s="89"/>
      <c r="AM7" s="90"/>
      <c r="AN7" s="90"/>
      <c r="AO7" s="90"/>
      <c r="AP7" s="91"/>
      <c r="AQ7" s="89"/>
      <c r="AR7" s="90"/>
      <c r="AS7" s="90"/>
      <c r="AT7" s="90"/>
      <c r="AU7" s="91"/>
      <c r="AV7" s="87"/>
      <c r="AW7" s="71"/>
      <c r="AX7" s="72"/>
      <c r="AY7" s="72"/>
      <c r="AZ7" s="72"/>
      <c r="BA7" s="73"/>
      <c r="BB7" s="92"/>
    </row>
    <row r="8" spans="1:54" x14ac:dyDescent="0.35">
      <c r="A8" s="4">
        <v>2</v>
      </c>
      <c r="B8" s="5" t="s">
        <v>25</v>
      </c>
      <c r="C8" s="29" t="s">
        <v>26</v>
      </c>
      <c r="D8" s="6">
        <v>45401</v>
      </c>
      <c r="E8" s="6" t="s">
        <v>17</v>
      </c>
      <c r="F8" s="6" t="s">
        <v>18</v>
      </c>
      <c r="G8" s="6" t="s">
        <v>19</v>
      </c>
      <c r="H8" s="6">
        <v>45401</v>
      </c>
      <c r="I8" s="6">
        <v>45401</v>
      </c>
      <c r="J8" s="7">
        <f>EDATE(I8, 36)</f>
        <v>46496</v>
      </c>
      <c r="K8" s="8">
        <v>46154</v>
      </c>
      <c r="L8" s="8">
        <v>46246</v>
      </c>
      <c r="N8" s="17"/>
      <c r="O8" s="17"/>
      <c r="P8" s="25" t="s">
        <v>24</v>
      </c>
      <c r="R8" s="25">
        <v>27095</v>
      </c>
      <c r="S8" s="25">
        <v>27640</v>
      </c>
      <c r="T8" s="133">
        <f t="shared" ref="T8:T35" si="0">S8-R8</f>
        <v>545</v>
      </c>
      <c r="U8" s="96"/>
      <c r="V8" s="96"/>
      <c r="W8" s="96"/>
      <c r="X8" s="96"/>
      <c r="Y8" s="97"/>
      <c r="Z8" s="76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</row>
    <row r="9" spans="1:54" x14ac:dyDescent="0.35">
      <c r="A9" s="4">
        <v>3</v>
      </c>
      <c r="B9" s="5" t="s">
        <v>27</v>
      </c>
      <c r="C9" s="29" t="s">
        <v>28</v>
      </c>
      <c r="D9" s="6">
        <v>45401</v>
      </c>
      <c r="E9" s="6" t="s">
        <v>17</v>
      </c>
      <c r="F9" s="6" t="s">
        <v>18</v>
      </c>
      <c r="G9" s="6" t="s">
        <v>19</v>
      </c>
      <c r="H9" s="6">
        <v>45401</v>
      </c>
      <c r="I9" s="6">
        <v>45401</v>
      </c>
      <c r="J9" s="7">
        <f>EDATE(I9, 36)</f>
        <v>46496</v>
      </c>
      <c r="K9" s="8">
        <v>46154</v>
      </c>
      <c r="L9" s="8">
        <v>46246</v>
      </c>
      <c r="N9" s="17"/>
      <c r="O9" s="17"/>
      <c r="P9" s="25" t="s">
        <v>24</v>
      </c>
      <c r="R9" s="25">
        <v>17465</v>
      </c>
      <c r="S9" s="25">
        <v>33090</v>
      </c>
      <c r="T9" s="133">
        <f t="shared" si="0"/>
        <v>15625</v>
      </c>
      <c r="U9" s="75"/>
      <c r="V9" s="75"/>
      <c r="W9" s="75"/>
      <c r="X9" s="75"/>
      <c r="Y9" s="77"/>
      <c r="Z9" s="76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</row>
    <row r="10" spans="1:54" x14ac:dyDescent="0.35">
      <c r="A10" s="4">
        <v>4</v>
      </c>
      <c r="B10" s="5" t="s">
        <v>29</v>
      </c>
      <c r="C10" s="29" t="s">
        <v>30</v>
      </c>
      <c r="D10" s="6">
        <v>45401</v>
      </c>
      <c r="E10" s="6" t="s">
        <v>17</v>
      </c>
      <c r="F10" s="6" t="s">
        <v>18</v>
      </c>
      <c r="G10" s="6" t="s">
        <v>19</v>
      </c>
      <c r="H10" s="6">
        <v>45401</v>
      </c>
      <c r="I10" s="6">
        <v>45401</v>
      </c>
      <c r="J10" s="7">
        <f>EDATE(I10, 36)</f>
        <v>46496</v>
      </c>
      <c r="K10" s="8">
        <v>46154</v>
      </c>
      <c r="L10" s="8">
        <v>46246</v>
      </c>
      <c r="N10" s="17"/>
      <c r="O10" s="17"/>
      <c r="P10" s="25" t="s">
        <v>24</v>
      </c>
      <c r="R10" s="25">
        <v>1690</v>
      </c>
      <c r="S10" s="25">
        <v>14467</v>
      </c>
      <c r="T10" s="133">
        <f t="shared" si="0"/>
        <v>12777</v>
      </c>
      <c r="U10" s="75"/>
      <c r="V10" s="75"/>
      <c r="W10" s="75"/>
      <c r="X10" s="75"/>
      <c r="Y10" s="77"/>
      <c r="Z10" s="76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</row>
    <row r="11" spans="1:54" x14ac:dyDescent="0.35">
      <c r="A11" s="4">
        <v>5</v>
      </c>
      <c r="B11" s="5" t="s">
        <v>31</v>
      </c>
      <c r="C11" s="29" t="s">
        <v>32</v>
      </c>
      <c r="D11" s="6">
        <v>45401</v>
      </c>
      <c r="E11" s="6" t="s">
        <v>17</v>
      </c>
      <c r="F11" s="6" t="s">
        <v>18</v>
      </c>
      <c r="G11" s="6" t="s">
        <v>19</v>
      </c>
      <c r="H11" s="6">
        <v>45401</v>
      </c>
      <c r="I11" s="6">
        <v>45401</v>
      </c>
      <c r="J11" s="7">
        <f>EDATE(I11, 36)</f>
        <v>46496</v>
      </c>
      <c r="K11" s="8">
        <v>46154</v>
      </c>
      <c r="L11" s="8">
        <v>46246</v>
      </c>
      <c r="N11" s="17"/>
      <c r="O11" s="17" t="s">
        <v>33</v>
      </c>
      <c r="P11" s="26" t="s">
        <v>34</v>
      </c>
      <c r="R11" s="25">
        <v>32174</v>
      </c>
      <c r="S11" s="25">
        <v>50331</v>
      </c>
      <c r="T11" s="133">
        <f t="shared" si="0"/>
        <v>18157</v>
      </c>
      <c r="U11" s="75"/>
      <c r="V11" s="75"/>
      <c r="W11" s="75"/>
      <c r="X11" s="75"/>
      <c r="Y11" s="77"/>
      <c r="Z11" s="76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</row>
    <row r="12" spans="1:54" x14ac:dyDescent="0.35">
      <c r="A12" s="4">
        <v>6</v>
      </c>
      <c r="B12" s="5" t="s">
        <v>35</v>
      </c>
      <c r="C12" s="29" t="s">
        <v>36</v>
      </c>
      <c r="D12" s="7">
        <v>45699</v>
      </c>
      <c r="E12" s="6" t="s">
        <v>17</v>
      </c>
      <c r="F12" s="6" t="s">
        <v>18</v>
      </c>
      <c r="G12" s="6" t="s">
        <v>19</v>
      </c>
      <c r="H12" s="7">
        <v>45699</v>
      </c>
      <c r="I12" s="7">
        <v>45699</v>
      </c>
      <c r="J12" s="7">
        <v>46793</v>
      </c>
      <c r="K12" s="8">
        <v>46154</v>
      </c>
      <c r="L12" s="8">
        <v>46246</v>
      </c>
      <c r="N12" s="17">
        <v>3532</v>
      </c>
      <c r="O12" s="17" t="s">
        <v>21</v>
      </c>
      <c r="P12" s="17" t="s">
        <v>22</v>
      </c>
      <c r="R12" s="25">
        <v>2634</v>
      </c>
      <c r="S12" s="25">
        <v>3532</v>
      </c>
      <c r="T12" s="133">
        <f t="shared" si="0"/>
        <v>898</v>
      </c>
      <c r="U12" s="75"/>
      <c r="V12" s="75"/>
      <c r="W12" s="75"/>
      <c r="X12" s="75"/>
      <c r="Y12" s="77"/>
      <c r="Z12" s="76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</row>
    <row r="13" spans="1:54" x14ac:dyDescent="0.35">
      <c r="A13" s="4">
        <v>7</v>
      </c>
      <c r="B13" s="5" t="s">
        <v>37</v>
      </c>
      <c r="C13" s="29" t="s">
        <v>28</v>
      </c>
      <c r="D13" s="7">
        <v>45699</v>
      </c>
      <c r="E13" s="6" t="s">
        <v>17</v>
      </c>
      <c r="F13" s="6" t="s">
        <v>18</v>
      </c>
      <c r="G13" s="6" t="s">
        <v>19</v>
      </c>
      <c r="H13" s="7">
        <v>45699</v>
      </c>
      <c r="I13" s="7">
        <v>45699</v>
      </c>
      <c r="J13" s="7">
        <v>46793</v>
      </c>
      <c r="K13" s="8">
        <v>46154</v>
      </c>
      <c r="L13" s="8">
        <v>46246</v>
      </c>
      <c r="N13" s="17"/>
      <c r="O13" s="17"/>
      <c r="P13" s="25" t="s">
        <v>24</v>
      </c>
      <c r="R13" s="25">
        <v>8537</v>
      </c>
      <c r="S13" s="25">
        <v>23524</v>
      </c>
      <c r="T13" s="133">
        <f t="shared" si="0"/>
        <v>14987</v>
      </c>
      <c r="U13" s="75"/>
      <c r="V13" s="75"/>
      <c r="W13" s="75"/>
      <c r="X13" s="75"/>
      <c r="Y13" s="77"/>
      <c r="Z13" s="76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</row>
    <row r="14" spans="1:54" x14ac:dyDescent="0.35">
      <c r="A14" s="4">
        <v>8</v>
      </c>
      <c r="B14" s="5" t="s">
        <v>38</v>
      </c>
      <c r="C14" s="29" t="s">
        <v>28</v>
      </c>
      <c r="D14" s="7">
        <v>45699</v>
      </c>
      <c r="E14" s="6" t="s">
        <v>17</v>
      </c>
      <c r="F14" s="6" t="s">
        <v>18</v>
      </c>
      <c r="G14" s="6" t="s">
        <v>19</v>
      </c>
      <c r="H14" s="7">
        <v>45699</v>
      </c>
      <c r="I14" s="7">
        <v>45699</v>
      </c>
      <c r="J14" s="7">
        <v>46793</v>
      </c>
      <c r="K14" s="8">
        <v>46154</v>
      </c>
      <c r="L14" s="8">
        <v>46246</v>
      </c>
      <c r="N14" s="17"/>
      <c r="O14" s="17"/>
      <c r="P14" s="25" t="s">
        <v>24</v>
      </c>
      <c r="R14" s="25">
        <v>6218</v>
      </c>
      <c r="S14" s="25">
        <v>11281</v>
      </c>
      <c r="T14" s="133">
        <f t="shared" si="0"/>
        <v>5063</v>
      </c>
      <c r="U14" s="75"/>
      <c r="V14" s="75"/>
      <c r="W14" s="75"/>
      <c r="X14" s="75"/>
      <c r="Y14" s="77"/>
      <c r="Z14" s="76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</row>
    <row r="15" spans="1:54" x14ac:dyDescent="0.35">
      <c r="A15" s="4">
        <v>9</v>
      </c>
      <c r="B15" s="5" t="s">
        <v>39</v>
      </c>
      <c r="C15" s="29" t="s">
        <v>28</v>
      </c>
      <c r="D15" s="7">
        <v>46009</v>
      </c>
      <c r="E15" s="6" t="s">
        <v>17</v>
      </c>
      <c r="F15" s="6" t="s">
        <v>18</v>
      </c>
      <c r="G15" s="6" t="s">
        <v>19</v>
      </c>
      <c r="H15" s="7">
        <v>46009</v>
      </c>
      <c r="I15" s="7">
        <v>46009</v>
      </c>
      <c r="J15" s="7">
        <v>47105</v>
      </c>
      <c r="K15" s="8">
        <v>46191</v>
      </c>
      <c r="L15" s="8">
        <v>46283</v>
      </c>
      <c r="N15" s="17">
        <v>18550</v>
      </c>
      <c r="O15" s="17" t="s">
        <v>21</v>
      </c>
      <c r="P15" s="17" t="s">
        <v>22</v>
      </c>
      <c r="R15" s="25">
        <v>664</v>
      </c>
      <c r="S15" s="25">
        <v>18550</v>
      </c>
      <c r="T15" s="133">
        <f t="shared" si="0"/>
        <v>17886</v>
      </c>
      <c r="U15" s="75"/>
      <c r="V15" s="75"/>
      <c r="W15" s="75"/>
      <c r="X15" s="75"/>
      <c r="Y15" s="77"/>
      <c r="Z15" s="76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</row>
    <row r="16" spans="1:54" x14ac:dyDescent="0.35">
      <c r="A16" s="4">
        <v>10</v>
      </c>
      <c r="B16" s="5" t="s">
        <v>40</v>
      </c>
      <c r="C16" s="29" t="s">
        <v>41</v>
      </c>
      <c r="D16" s="7">
        <v>46009</v>
      </c>
      <c r="E16" s="6" t="s">
        <v>17</v>
      </c>
      <c r="F16" s="6" t="s">
        <v>18</v>
      </c>
      <c r="G16" s="6" t="s">
        <v>19</v>
      </c>
      <c r="H16" s="7">
        <v>46009</v>
      </c>
      <c r="I16" s="7">
        <v>46009</v>
      </c>
      <c r="J16" s="7">
        <v>47105</v>
      </c>
      <c r="K16" s="8">
        <v>46191</v>
      </c>
      <c r="L16" s="8">
        <v>46283</v>
      </c>
      <c r="N16" s="17"/>
      <c r="O16" s="17"/>
      <c r="P16" s="25" t="s">
        <v>24</v>
      </c>
      <c r="R16" s="25">
        <v>4273</v>
      </c>
      <c r="S16" s="25">
        <v>12420</v>
      </c>
      <c r="T16" s="133">
        <f t="shared" si="0"/>
        <v>8147</v>
      </c>
      <c r="U16" s="75"/>
      <c r="V16" s="75"/>
      <c r="W16" s="75"/>
      <c r="X16" s="75"/>
      <c r="Y16" s="77"/>
      <c r="Z16" s="76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</row>
    <row r="17" spans="1:54" x14ac:dyDescent="0.35">
      <c r="A17" s="4">
        <v>11</v>
      </c>
      <c r="B17" s="5" t="s">
        <v>42</v>
      </c>
      <c r="C17" s="29" t="s">
        <v>43</v>
      </c>
      <c r="D17" s="7">
        <v>46028</v>
      </c>
      <c r="E17" s="6" t="s">
        <v>17</v>
      </c>
      <c r="F17" s="6" t="s">
        <v>18</v>
      </c>
      <c r="G17" s="6" t="s">
        <v>19</v>
      </c>
      <c r="H17" s="7">
        <v>46028</v>
      </c>
      <c r="I17" s="7">
        <v>46028</v>
      </c>
      <c r="J17" s="7">
        <v>47124</v>
      </c>
      <c r="K17" s="8">
        <v>46124</v>
      </c>
      <c r="L17" s="8">
        <v>46246</v>
      </c>
      <c r="N17" s="17"/>
      <c r="O17" s="17" t="s">
        <v>21</v>
      </c>
      <c r="P17" s="17" t="s">
        <v>22</v>
      </c>
      <c r="R17" s="25">
        <v>1622</v>
      </c>
      <c r="S17" s="25">
        <v>20526</v>
      </c>
      <c r="T17" s="133">
        <f t="shared" si="0"/>
        <v>18904</v>
      </c>
      <c r="U17" s="75"/>
      <c r="V17" s="75"/>
      <c r="W17" s="75"/>
      <c r="X17" s="75"/>
      <c r="Y17" s="77"/>
      <c r="Z17" s="76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</row>
    <row r="18" spans="1:54" x14ac:dyDescent="0.35">
      <c r="A18" s="4">
        <v>12</v>
      </c>
      <c r="B18" s="5" t="s">
        <v>44</v>
      </c>
      <c r="C18" s="29" t="s">
        <v>45</v>
      </c>
      <c r="D18" s="7">
        <v>46028</v>
      </c>
      <c r="E18" s="6" t="s">
        <v>17</v>
      </c>
      <c r="F18" s="6" t="s">
        <v>18</v>
      </c>
      <c r="G18" s="6" t="s">
        <v>19</v>
      </c>
      <c r="H18" s="7">
        <v>46028</v>
      </c>
      <c r="I18" s="7">
        <v>46028</v>
      </c>
      <c r="J18" s="7">
        <v>47124</v>
      </c>
      <c r="K18" s="8">
        <v>46124</v>
      </c>
      <c r="L18" s="8">
        <v>46246</v>
      </c>
      <c r="N18" s="17">
        <v>5926</v>
      </c>
      <c r="O18" s="17" t="s">
        <v>21</v>
      </c>
      <c r="P18" s="17" t="s">
        <v>22</v>
      </c>
      <c r="R18" s="25">
        <v>467</v>
      </c>
      <c r="S18" s="25">
        <v>5926</v>
      </c>
      <c r="T18" s="133">
        <f t="shared" si="0"/>
        <v>5459</v>
      </c>
      <c r="U18" s="75"/>
      <c r="V18" s="75"/>
      <c r="W18" s="75"/>
      <c r="X18" s="75"/>
      <c r="Y18" s="77"/>
      <c r="Z18" s="76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</row>
    <row r="19" spans="1:54" x14ac:dyDescent="0.35">
      <c r="A19" s="4">
        <v>13</v>
      </c>
      <c r="B19" s="5" t="s">
        <v>46</v>
      </c>
      <c r="C19" s="29" t="s">
        <v>50</v>
      </c>
      <c r="D19" s="7">
        <v>46028</v>
      </c>
      <c r="E19" s="6" t="s">
        <v>47</v>
      </c>
      <c r="F19" s="6" t="s">
        <v>48</v>
      </c>
      <c r="G19" s="6" t="s">
        <v>49</v>
      </c>
      <c r="H19" s="7">
        <v>46028</v>
      </c>
      <c r="I19" s="7">
        <v>46028</v>
      </c>
      <c r="J19" s="7">
        <v>47124</v>
      </c>
      <c r="K19" s="8">
        <v>46124</v>
      </c>
      <c r="L19" s="8">
        <v>46246</v>
      </c>
      <c r="N19" s="17">
        <v>9969</v>
      </c>
      <c r="O19" s="17" t="s">
        <v>21</v>
      </c>
      <c r="P19" s="17" t="s">
        <v>22</v>
      </c>
      <c r="R19" s="25">
        <v>1715</v>
      </c>
      <c r="S19" s="25">
        <v>9969</v>
      </c>
      <c r="T19" s="133">
        <f t="shared" si="0"/>
        <v>8254</v>
      </c>
      <c r="U19" s="75"/>
      <c r="V19" s="75"/>
      <c r="W19" s="75"/>
      <c r="X19" s="75"/>
      <c r="Y19" s="77"/>
      <c r="Z19" s="76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</row>
    <row r="20" spans="1:54" x14ac:dyDescent="0.35">
      <c r="A20" s="4">
        <v>14</v>
      </c>
      <c r="B20" s="5" t="s">
        <v>51</v>
      </c>
      <c r="C20" s="29" t="s">
        <v>52</v>
      </c>
      <c r="D20" s="7">
        <v>46028</v>
      </c>
      <c r="E20" s="6" t="s">
        <v>47</v>
      </c>
      <c r="F20" s="6" t="s">
        <v>48</v>
      </c>
      <c r="G20" s="6" t="s">
        <v>49</v>
      </c>
      <c r="H20" s="7">
        <v>46028</v>
      </c>
      <c r="I20" s="7">
        <v>46028</v>
      </c>
      <c r="J20" s="7">
        <v>47124</v>
      </c>
      <c r="K20" s="8">
        <v>46124</v>
      </c>
      <c r="L20" s="8">
        <v>46246</v>
      </c>
      <c r="N20" s="17">
        <v>3991</v>
      </c>
      <c r="O20" s="17" t="s">
        <v>21</v>
      </c>
      <c r="P20" s="17" t="s">
        <v>22</v>
      </c>
      <c r="R20" s="25">
        <v>169</v>
      </c>
      <c r="S20" s="25">
        <v>3991</v>
      </c>
      <c r="T20" s="133">
        <f t="shared" si="0"/>
        <v>3822</v>
      </c>
      <c r="U20" s="75"/>
      <c r="V20" s="75"/>
      <c r="W20" s="75"/>
      <c r="X20" s="75"/>
      <c r="Y20" s="77"/>
      <c r="Z20" s="76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</row>
    <row r="21" spans="1:54" x14ac:dyDescent="0.35">
      <c r="A21" s="4">
        <v>15</v>
      </c>
      <c r="B21" s="5" t="s">
        <v>53</v>
      </c>
      <c r="C21" s="29" t="s">
        <v>54</v>
      </c>
      <c r="D21" s="7">
        <v>46028</v>
      </c>
      <c r="E21" s="6" t="s">
        <v>47</v>
      </c>
      <c r="F21" s="6" t="s">
        <v>48</v>
      </c>
      <c r="G21" s="6" t="s">
        <v>49</v>
      </c>
      <c r="H21" s="7">
        <v>46028</v>
      </c>
      <c r="I21" s="7">
        <v>46028</v>
      </c>
      <c r="J21" s="7">
        <v>47124</v>
      </c>
      <c r="K21" s="8">
        <v>46124</v>
      </c>
      <c r="L21" s="8">
        <v>46246</v>
      </c>
      <c r="N21" s="17">
        <v>10114</v>
      </c>
      <c r="O21" s="17" t="s">
        <v>21</v>
      </c>
      <c r="P21" s="17" t="s">
        <v>22</v>
      </c>
      <c r="R21" s="25">
        <v>1272</v>
      </c>
      <c r="S21" s="25">
        <v>10114</v>
      </c>
      <c r="T21" s="133">
        <f t="shared" si="0"/>
        <v>8842</v>
      </c>
      <c r="U21" s="75"/>
      <c r="V21" s="75"/>
      <c r="W21" s="75"/>
      <c r="X21" s="75"/>
      <c r="Y21" s="77"/>
      <c r="Z21" s="76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</row>
    <row r="22" spans="1:54" x14ac:dyDescent="0.35">
      <c r="A22" s="4">
        <v>16</v>
      </c>
      <c r="B22" s="5" t="s">
        <v>55</v>
      </c>
      <c r="C22" s="29" t="s">
        <v>56</v>
      </c>
      <c r="D22" s="7">
        <v>46028</v>
      </c>
      <c r="E22" s="6" t="s">
        <v>47</v>
      </c>
      <c r="F22" s="6" t="s">
        <v>48</v>
      </c>
      <c r="G22" s="6" t="s">
        <v>49</v>
      </c>
      <c r="H22" s="7">
        <v>46028</v>
      </c>
      <c r="I22" s="7">
        <v>46028</v>
      </c>
      <c r="J22" s="7">
        <v>47124</v>
      </c>
      <c r="K22" s="8">
        <v>46124</v>
      </c>
      <c r="L22" s="8">
        <v>46246</v>
      </c>
      <c r="N22" s="17">
        <v>14194</v>
      </c>
      <c r="O22" s="17" t="s">
        <v>33</v>
      </c>
      <c r="P22" s="25" t="s">
        <v>24</v>
      </c>
      <c r="R22" s="25">
        <v>1040</v>
      </c>
      <c r="S22" s="25">
        <v>14194</v>
      </c>
      <c r="T22" s="133">
        <f t="shared" si="0"/>
        <v>13154</v>
      </c>
      <c r="U22" s="75"/>
      <c r="V22" s="75"/>
      <c r="W22" s="75"/>
      <c r="X22" s="75"/>
      <c r="Y22" s="77"/>
      <c r="Z22" s="76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</row>
    <row r="23" spans="1:54" x14ac:dyDescent="0.35">
      <c r="A23" s="4">
        <v>17</v>
      </c>
      <c r="B23" s="5" t="s">
        <v>57</v>
      </c>
      <c r="C23" s="29" t="s">
        <v>58</v>
      </c>
      <c r="D23" s="7">
        <v>46028</v>
      </c>
      <c r="E23" s="6" t="s">
        <v>47</v>
      </c>
      <c r="F23" s="6" t="s">
        <v>48</v>
      </c>
      <c r="G23" s="6" t="s">
        <v>49</v>
      </c>
      <c r="H23" s="7">
        <v>46028</v>
      </c>
      <c r="I23" s="7">
        <v>46028</v>
      </c>
      <c r="J23" s="7">
        <v>47124</v>
      </c>
      <c r="K23" s="8">
        <v>46124</v>
      </c>
      <c r="L23" s="8">
        <v>46246</v>
      </c>
      <c r="N23" s="17">
        <v>8918</v>
      </c>
      <c r="O23" s="17" t="s">
        <v>21</v>
      </c>
      <c r="P23" s="17" t="s">
        <v>22</v>
      </c>
      <c r="R23" s="25">
        <v>581</v>
      </c>
      <c r="S23" s="25">
        <v>8918</v>
      </c>
      <c r="T23" s="133">
        <f t="shared" si="0"/>
        <v>8337</v>
      </c>
      <c r="U23" s="75"/>
      <c r="V23" s="75"/>
      <c r="W23" s="75"/>
      <c r="X23" s="75"/>
      <c r="Y23" s="77"/>
      <c r="Z23" s="76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</row>
    <row r="24" spans="1:54" x14ac:dyDescent="0.35">
      <c r="A24" s="4">
        <v>18</v>
      </c>
      <c r="B24" s="9" t="s">
        <v>59</v>
      </c>
      <c r="C24" s="30" t="s">
        <v>60</v>
      </c>
      <c r="D24" s="10">
        <v>46009</v>
      </c>
      <c r="E24" s="11" t="s">
        <v>17</v>
      </c>
      <c r="F24" s="11" t="s">
        <v>18</v>
      </c>
      <c r="G24" s="11" t="s">
        <v>19</v>
      </c>
      <c r="H24" s="10">
        <v>46009</v>
      </c>
      <c r="I24" s="10">
        <v>46009</v>
      </c>
      <c r="J24" s="7">
        <v>47105</v>
      </c>
      <c r="K24" s="11">
        <v>46191</v>
      </c>
      <c r="L24" s="8">
        <v>46283</v>
      </c>
      <c r="N24" s="27">
        <v>7664</v>
      </c>
      <c r="O24" s="27" t="s">
        <v>21</v>
      </c>
      <c r="P24" s="27" t="s">
        <v>22</v>
      </c>
      <c r="R24" s="93">
        <v>498</v>
      </c>
      <c r="S24" s="93">
        <v>7664</v>
      </c>
      <c r="T24" s="133">
        <f t="shared" si="0"/>
        <v>7166</v>
      </c>
      <c r="U24" s="75"/>
      <c r="V24" s="75"/>
      <c r="W24" s="75"/>
      <c r="X24" s="75"/>
      <c r="Y24" s="77"/>
      <c r="Z24" s="76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</row>
    <row r="25" spans="1:54" x14ac:dyDescent="0.35">
      <c r="A25" s="4">
        <v>19</v>
      </c>
      <c r="B25" s="5" t="s">
        <v>61</v>
      </c>
      <c r="C25" s="30" t="s">
        <v>62</v>
      </c>
      <c r="D25" s="7">
        <v>46028</v>
      </c>
      <c r="E25" s="6" t="s">
        <v>47</v>
      </c>
      <c r="F25" s="6" t="s">
        <v>48</v>
      </c>
      <c r="G25" s="6" t="s">
        <v>49</v>
      </c>
      <c r="H25" s="7">
        <v>46028</v>
      </c>
      <c r="I25" s="7">
        <v>46028</v>
      </c>
      <c r="J25" s="7">
        <v>47124</v>
      </c>
      <c r="K25" s="8">
        <v>46124</v>
      </c>
      <c r="L25" s="8">
        <v>46246</v>
      </c>
      <c r="N25" s="17">
        <v>5313</v>
      </c>
      <c r="O25" s="27" t="s">
        <v>21</v>
      </c>
      <c r="P25" s="27" t="s">
        <v>22</v>
      </c>
      <c r="R25" s="25">
        <v>19</v>
      </c>
      <c r="S25" s="25">
        <v>5313</v>
      </c>
      <c r="T25" s="133">
        <f t="shared" si="0"/>
        <v>5294</v>
      </c>
      <c r="U25" s="75"/>
      <c r="V25" s="75"/>
      <c r="W25" s="75"/>
      <c r="X25" s="75"/>
      <c r="Y25" s="77"/>
      <c r="Z25" s="76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</row>
    <row r="26" spans="1:54" x14ac:dyDescent="0.35">
      <c r="A26" s="4">
        <v>20</v>
      </c>
      <c r="B26" s="5" t="s">
        <v>63</v>
      </c>
      <c r="C26" s="30" t="s">
        <v>64</v>
      </c>
      <c r="D26" s="7">
        <v>46028</v>
      </c>
      <c r="E26" s="6" t="s">
        <v>47</v>
      </c>
      <c r="F26" s="6" t="s">
        <v>48</v>
      </c>
      <c r="G26" s="6" t="s">
        <v>49</v>
      </c>
      <c r="H26" s="7">
        <v>46028</v>
      </c>
      <c r="I26" s="7">
        <v>46028</v>
      </c>
      <c r="J26" s="7">
        <v>47124</v>
      </c>
      <c r="K26" s="8">
        <v>46124</v>
      </c>
      <c r="L26" s="8">
        <v>46246</v>
      </c>
      <c r="N26" s="17">
        <v>1997</v>
      </c>
      <c r="O26" s="27" t="s">
        <v>21</v>
      </c>
      <c r="P26" s="27" t="s">
        <v>22</v>
      </c>
      <c r="R26" s="25">
        <v>53</v>
      </c>
      <c r="S26" s="25">
        <v>1997</v>
      </c>
      <c r="T26" s="133">
        <f t="shared" si="0"/>
        <v>1944</v>
      </c>
      <c r="U26" s="75"/>
      <c r="V26" s="75"/>
      <c r="W26" s="75"/>
      <c r="X26" s="75"/>
      <c r="Y26" s="77"/>
      <c r="Z26" s="76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</row>
    <row r="27" spans="1:54" x14ac:dyDescent="0.35">
      <c r="A27" s="4">
        <v>21</v>
      </c>
      <c r="B27" s="5" t="s">
        <v>65</v>
      </c>
      <c r="C27" s="29" t="s">
        <v>66</v>
      </c>
      <c r="D27" s="7">
        <v>46028</v>
      </c>
      <c r="E27" s="6" t="s">
        <v>47</v>
      </c>
      <c r="F27" s="6" t="s">
        <v>48</v>
      </c>
      <c r="G27" s="6" t="s">
        <v>49</v>
      </c>
      <c r="H27" s="7">
        <v>46028</v>
      </c>
      <c r="I27" s="7">
        <v>46028</v>
      </c>
      <c r="J27" s="7">
        <v>47124</v>
      </c>
      <c r="K27" s="8">
        <v>46124</v>
      </c>
      <c r="L27" s="8">
        <v>46246</v>
      </c>
      <c r="N27" s="17">
        <v>4606</v>
      </c>
      <c r="O27" s="27" t="s">
        <v>21</v>
      </c>
      <c r="P27" s="27" t="s">
        <v>22</v>
      </c>
      <c r="R27" s="25">
        <v>141</v>
      </c>
      <c r="S27" s="25">
        <v>4606</v>
      </c>
      <c r="T27" s="133">
        <f t="shared" si="0"/>
        <v>4465</v>
      </c>
      <c r="U27" s="75"/>
      <c r="V27" s="75"/>
      <c r="W27" s="75"/>
      <c r="X27" s="75"/>
      <c r="Y27" s="77"/>
      <c r="Z27" s="76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</row>
    <row r="28" spans="1:54" ht="16" customHeight="1" x14ac:dyDescent="0.35">
      <c r="A28" s="4">
        <v>22</v>
      </c>
      <c r="B28" s="5" t="s">
        <v>67</v>
      </c>
      <c r="C28" s="29" t="s">
        <v>68</v>
      </c>
      <c r="D28" s="7">
        <v>46028</v>
      </c>
      <c r="E28" s="6" t="s">
        <v>47</v>
      </c>
      <c r="F28" s="6" t="s">
        <v>48</v>
      </c>
      <c r="G28" s="6" t="s">
        <v>49</v>
      </c>
      <c r="H28" s="7">
        <v>46028</v>
      </c>
      <c r="I28" s="7">
        <v>46028</v>
      </c>
      <c r="J28" s="7">
        <v>47124</v>
      </c>
      <c r="K28" s="8">
        <v>46124</v>
      </c>
      <c r="L28" s="8">
        <v>46246</v>
      </c>
      <c r="N28" s="17">
        <v>3025</v>
      </c>
      <c r="O28" s="27" t="s">
        <v>21</v>
      </c>
      <c r="P28" s="27" t="s">
        <v>22</v>
      </c>
      <c r="R28" s="25">
        <v>87</v>
      </c>
      <c r="S28" s="25">
        <v>3025</v>
      </c>
      <c r="T28" s="133">
        <f t="shared" si="0"/>
        <v>2938</v>
      </c>
      <c r="U28" s="75"/>
      <c r="V28" s="75"/>
      <c r="W28" s="75"/>
      <c r="X28" s="75"/>
      <c r="Y28" s="77"/>
      <c r="Z28" s="76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</row>
    <row r="29" spans="1:54" x14ac:dyDescent="0.35">
      <c r="A29" s="4">
        <v>23</v>
      </c>
      <c r="B29" s="5" t="s">
        <v>69</v>
      </c>
      <c r="C29" s="29" t="s">
        <v>70</v>
      </c>
      <c r="D29" s="7">
        <v>46028</v>
      </c>
      <c r="E29" s="6" t="s">
        <v>47</v>
      </c>
      <c r="F29" s="6" t="s">
        <v>48</v>
      </c>
      <c r="G29" s="6" t="s">
        <v>49</v>
      </c>
      <c r="H29" s="7">
        <v>46028</v>
      </c>
      <c r="I29" s="7">
        <v>46028</v>
      </c>
      <c r="J29" s="7">
        <v>47124</v>
      </c>
      <c r="K29" s="8">
        <v>46124</v>
      </c>
      <c r="L29" s="8">
        <v>46246</v>
      </c>
      <c r="N29" s="17">
        <v>3111</v>
      </c>
      <c r="O29" s="27" t="s">
        <v>21</v>
      </c>
      <c r="P29" s="27" t="s">
        <v>22</v>
      </c>
      <c r="R29" s="25">
        <v>93</v>
      </c>
      <c r="S29" s="25">
        <v>3111</v>
      </c>
      <c r="T29" s="133">
        <f t="shared" si="0"/>
        <v>3018</v>
      </c>
      <c r="U29" s="75"/>
      <c r="V29" s="75"/>
      <c r="W29" s="75"/>
      <c r="X29" s="75"/>
      <c r="Y29" s="77"/>
      <c r="Z29" s="76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</row>
    <row r="30" spans="1:54" x14ac:dyDescent="0.35">
      <c r="A30" s="4">
        <v>24</v>
      </c>
      <c r="B30" s="5" t="s">
        <v>71</v>
      </c>
      <c r="C30" s="29" t="s">
        <v>72</v>
      </c>
      <c r="D30" s="7">
        <v>46028</v>
      </c>
      <c r="E30" s="6" t="s">
        <v>47</v>
      </c>
      <c r="F30" s="6" t="s">
        <v>48</v>
      </c>
      <c r="G30" s="6" t="s">
        <v>49</v>
      </c>
      <c r="H30" s="7">
        <v>46028</v>
      </c>
      <c r="I30" s="7">
        <v>46028</v>
      </c>
      <c r="J30" s="7">
        <v>47124</v>
      </c>
      <c r="K30" s="8">
        <v>46124</v>
      </c>
      <c r="L30" s="8">
        <v>46246</v>
      </c>
      <c r="N30" s="17">
        <v>18348</v>
      </c>
      <c r="O30" s="27" t="s">
        <v>21</v>
      </c>
      <c r="P30" s="27" t="s">
        <v>22</v>
      </c>
      <c r="R30" s="25">
        <v>100</v>
      </c>
      <c r="S30" s="25">
        <v>18348</v>
      </c>
      <c r="T30" s="133">
        <f t="shared" si="0"/>
        <v>18248</v>
      </c>
      <c r="U30" s="75"/>
      <c r="V30" s="75"/>
      <c r="W30" s="75"/>
      <c r="X30" s="75"/>
      <c r="Y30" s="77"/>
      <c r="Z30" s="76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</row>
    <row r="31" spans="1:54" x14ac:dyDescent="0.35">
      <c r="A31" s="12">
        <v>25</v>
      </c>
      <c r="B31" s="13" t="s">
        <v>73</v>
      </c>
      <c r="C31" s="31" t="s">
        <v>74</v>
      </c>
      <c r="D31" s="14">
        <v>46028</v>
      </c>
      <c r="E31" s="15" t="s">
        <v>47</v>
      </c>
      <c r="F31" s="15" t="s">
        <v>48</v>
      </c>
      <c r="G31" s="15" t="s">
        <v>49</v>
      </c>
      <c r="H31" s="14">
        <v>46028</v>
      </c>
      <c r="I31" s="14">
        <v>46028</v>
      </c>
      <c r="J31" s="14">
        <v>47124</v>
      </c>
      <c r="K31" s="16">
        <v>46124</v>
      </c>
      <c r="L31" s="8">
        <v>46246</v>
      </c>
      <c r="N31" s="17">
        <v>2630</v>
      </c>
      <c r="O31" s="27" t="s">
        <v>21</v>
      </c>
      <c r="P31" s="27" t="s">
        <v>22</v>
      </c>
      <c r="R31" s="94">
        <v>648</v>
      </c>
      <c r="S31" s="25">
        <v>2630</v>
      </c>
      <c r="T31" s="133">
        <f t="shared" si="0"/>
        <v>1982</v>
      </c>
      <c r="U31" s="75"/>
      <c r="V31" s="75"/>
      <c r="W31" s="75"/>
      <c r="X31" s="75"/>
      <c r="Y31" s="77"/>
      <c r="Z31" s="76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</row>
    <row r="32" spans="1:54" x14ac:dyDescent="0.35">
      <c r="A32" s="17">
        <v>26</v>
      </c>
      <c r="B32" s="18" t="s">
        <v>75</v>
      </c>
      <c r="C32" s="32" t="s">
        <v>76</v>
      </c>
      <c r="D32" s="19">
        <v>46028</v>
      </c>
      <c r="E32" s="20" t="s">
        <v>47</v>
      </c>
      <c r="F32" s="20" t="s">
        <v>48</v>
      </c>
      <c r="G32" s="20" t="s">
        <v>49</v>
      </c>
      <c r="H32" s="19">
        <v>46028</v>
      </c>
      <c r="I32" s="19">
        <v>46028</v>
      </c>
      <c r="J32" s="19">
        <v>47124</v>
      </c>
      <c r="K32" s="21">
        <v>46124</v>
      </c>
      <c r="L32" s="8">
        <v>46246</v>
      </c>
      <c r="N32" s="17">
        <v>2956</v>
      </c>
      <c r="O32" s="27" t="s">
        <v>21</v>
      </c>
      <c r="P32" s="27" t="s">
        <v>22</v>
      </c>
      <c r="R32" s="94">
        <v>407</v>
      </c>
      <c r="S32" s="25">
        <v>2956</v>
      </c>
      <c r="T32" s="133">
        <f t="shared" si="0"/>
        <v>2549</v>
      </c>
      <c r="U32" s="75"/>
      <c r="V32" s="75"/>
      <c r="W32" s="75"/>
      <c r="X32" s="75"/>
      <c r="Y32" s="77"/>
      <c r="Z32" s="76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</row>
    <row r="33" spans="1:54" x14ac:dyDescent="0.35">
      <c r="A33" s="17">
        <v>27</v>
      </c>
      <c r="B33" s="18" t="s">
        <v>77</v>
      </c>
      <c r="C33" s="32" t="s">
        <v>78</v>
      </c>
      <c r="D33" s="19">
        <v>46028</v>
      </c>
      <c r="E33" s="20" t="s">
        <v>47</v>
      </c>
      <c r="F33" s="20" t="s">
        <v>48</v>
      </c>
      <c r="G33" s="20" t="s">
        <v>49</v>
      </c>
      <c r="H33" s="19">
        <v>46028</v>
      </c>
      <c r="I33" s="19">
        <v>46028</v>
      </c>
      <c r="J33" s="19">
        <v>47124</v>
      </c>
      <c r="K33" s="21">
        <v>46124</v>
      </c>
      <c r="L33" s="8">
        <v>46246</v>
      </c>
      <c r="N33" s="17">
        <v>150</v>
      </c>
      <c r="O33" s="27" t="s">
        <v>21</v>
      </c>
      <c r="P33" s="27" t="s">
        <v>22</v>
      </c>
      <c r="R33" s="94">
        <v>49</v>
      </c>
      <c r="S33" s="25">
        <v>150</v>
      </c>
      <c r="T33" s="133">
        <f t="shared" si="0"/>
        <v>101</v>
      </c>
      <c r="U33" s="75"/>
      <c r="V33" s="75"/>
      <c r="W33" s="75"/>
      <c r="X33" s="75"/>
      <c r="Y33" s="77"/>
      <c r="Z33" s="76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</row>
    <row r="34" spans="1:54" x14ac:dyDescent="0.35">
      <c r="A34" s="17">
        <v>28</v>
      </c>
      <c r="B34" s="18" t="s">
        <v>79</v>
      </c>
      <c r="C34" s="32" t="s">
        <v>80</v>
      </c>
      <c r="D34" s="19">
        <v>46028</v>
      </c>
      <c r="E34" s="20" t="s">
        <v>47</v>
      </c>
      <c r="F34" s="20" t="s">
        <v>48</v>
      </c>
      <c r="G34" s="20" t="s">
        <v>49</v>
      </c>
      <c r="H34" s="19">
        <v>46028</v>
      </c>
      <c r="I34" s="19">
        <v>46028</v>
      </c>
      <c r="J34" s="19">
        <v>47124</v>
      </c>
      <c r="K34" s="21">
        <v>46124</v>
      </c>
      <c r="L34" s="8">
        <v>46246</v>
      </c>
      <c r="N34" s="17">
        <v>23</v>
      </c>
      <c r="O34" s="27" t="s">
        <v>21</v>
      </c>
      <c r="P34" s="27" t="s">
        <v>22</v>
      </c>
      <c r="R34" s="94">
        <v>17</v>
      </c>
      <c r="S34" s="25">
        <v>23</v>
      </c>
      <c r="T34" s="133">
        <f t="shared" si="0"/>
        <v>6</v>
      </c>
      <c r="U34" s="75"/>
      <c r="V34" s="75"/>
      <c r="W34" s="75"/>
      <c r="X34" s="75"/>
      <c r="Y34" s="77"/>
      <c r="Z34" s="76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</row>
    <row r="35" spans="1:54" ht="16" thickBot="1" x14ac:dyDescent="0.4">
      <c r="A35" s="17">
        <v>29</v>
      </c>
      <c r="B35" s="18" t="s">
        <v>81</v>
      </c>
      <c r="C35" s="32" t="s">
        <v>82</v>
      </c>
      <c r="D35" s="19">
        <v>46028</v>
      </c>
      <c r="E35" s="20" t="s">
        <v>47</v>
      </c>
      <c r="F35" s="20" t="s">
        <v>48</v>
      </c>
      <c r="G35" s="20" t="s">
        <v>49</v>
      </c>
      <c r="H35" s="19">
        <v>46028</v>
      </c>
      <c r="I35" s="19">
        <v>46028</v>
      </c>
      <c r="J35" s="19">
        <v>47124</v>
      </c>
      <c r="K35" s="21">
        <v>46124</v>
      </c>
      <c r="L35" s="8">
        <v>46246</v>
      </c>
      <c r="N35" s="17">
        <v>23</v>
      </c>
      <c r="O35" s="27" t="s">
        <v>21</v>
      </c>
      <c r="P35" s="27" t="s">
        <v>22</v>
      </c>
      <c r="R35" s="95">
        <v>19</v>
      </c>
      <c r="S35" s="25">
        <v>23</v>
      </c>
      <c r="T35" s="133">
        <f t="shared" si="0"/>
        <v>4</v>
      </c>
      <c r="U35" s="78"/>
      <c r="V35" s="78"/>
      <c r="W35" s="78"/>
      <c r="X35" s="78"/>
      <c r="Y35" s="79"/>
      <c r="Z35" s="7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</row>
    <row r="36" spans="1:54" x14ac:dyDescent="0.35">
      <c r="R36" s="23"/>
    </row>
  </sheetData>
  <mergeCells count="10">
    <mergeCell ref="A4:L4"/>
    <mergeCell ref="AQ4:AU4"/>
    <mergeCell ref="AW4:BA4"/>
    <mergeCell ref="N4:P4"/>
    <mergeCell ref="R4:R5"/>
    <mergeCell ref="S4:Y4"/>
    <mergeCell ref="Z4:AD5"/>
    <mergeCell ref="AE4:AE5"/>
    <mergeCell ref="AF4:AH4"/>
    <mergeCell ref="AL4:AP4"/>
  </mergeCells>
  <hyperlinks>
    <hyperlink ref="A5" r:id="rId1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GIAL_July-26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Ramrajkar (IN)</dc:creator>
  <cp:lastModifiedBy>Lenovo</cp:lastModifiedBy>
  <dcterms:created xsi:type="dcterms:W3CDTF">2026-07-22T12:48:35Z</dcterms:created>
  <dcterms:modified xsi:type="dcterms:W3CDTF">2026-07-23T07:39:53Z</dcterms:modified>
</cp:coreProperties>
</file>